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7157a4ad164030" /></Relationships>
</file>

<file path=xl/workbook.xml><?xml version="1.0" encoding="utf-8"?>
<x:workbook xmlns:x="http://schemas.openxmlformats.org/spreadsheetml/2006/main">
  <x:sheets>
    <x:sheet xmlns:r="http://schemas.openxmlformats.org/officeDocument/2006/relationships" name="verified_user_feedback" sheetId="1" r:id="R19852d2b12b9413f"/>
    <x:sheet xmlns:r="http://schemas.openxmlformats.org/officeDocument/2006/relationships" name="audit_table" sheetId="2" r:id="R885b0234bb744764"/>
    <x:sheet xmlns:r="http://schemas.openxmlformats.org/officeDocument/2006/relationships" name="audit_summary" sheetId="3" r:id="R4f20da577f2644f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DengXian"/>
    </x:font>
    <x:font>
      <x:sz val="10"/>
      <x:name val="Calibri"/>
    </x:font>
    <x:font>
      <x:sz val="11"/>
      <x:color rgb="FF0000FF"/>
      <x:name val="DengXian"/>
    </x:font>
    <x:font>
      <x:b/>
      <x:sz val="11"/>
      <x:color rgb="FFFFFFFF"/>
      <x:name val="DengXian"/>
    </x:font>
    <x:font>
      <x:sz val="10"/>
      <x:color theme="1"/>
      <x:name val="DengXian"/>
    </x:font>
    <x:font>
      <x:b/>
      <x:sz val="16"/>
      <x:color rgb="FFFFFFFF"/>
      <x:name val="DengXian"/>
    </x:font>
    <x:font>
      <x:b/>
      <x:sz val="11"/>
      <x:color rgb="FF17365D"/>
      <x:name val="DengXian"/>
    </x:font>
    <x:font>
      <x:b/>
      <x:sz val="18"/>
      <x:color rgb="FF17365D"/>
      <x:name val="DengXian"/>
    </x:font>
  </x:fonts>
  <x:fills count="8">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EAF2F8"/>
      </x:patternFill>
    </x:fill>
    <x:fill>
      <x:patternFill patternType="solid">
        <x:fgColor rgb="FF548235"/>
      </x:patternFill>
    </x:fill>
  </x:fills>
  <x:borders count="2">
    <x:border/>
    <x:border/>
  </x:borders>
  <x:cellStyleXfs count="1">
    <x:xf numFmtId="0" fontId="0" fillId="0" borderId="0"/>
  </x:cellStyleXfs>
  <x:cellXfs count="72">
    <x:xf numFmtId="0" fontId="0" fillId="0" borderId="0" xfId="0"/>
    <x:xf numFmtId="0" fontId="1" fillId="0" borderId="0" xfId="0" applyFont="1" applyAlignment="1">
      <x:alignment vertical="center"/>
    </x:xf>
    <x:xf numFmtId="0" fontId="2" fillId="0" borderId="0" xfId="0" applyFont="1" applyAlignment="0"/>
    <x:xf numFmtId="0" fontId="0" fillId="0" borderId="1" xfId="0" applyNumberFormat="1" applyFont="1" applyFill="1" applyBorder="1"/>
    <x:xf numFmtId="0" fontId="1" fillId="0" borderId="1" xfId="0" applyNumberFormat="1" applyFont="1" applyFill="1" applyBorder="1" applyAlignment="1">
      <x:alignment vertical="center"/>
    </x:xf>
    <x:xf numFmtId="0" fontId="2"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1" xfId="0" applyNumberFormat="1" applyFont="1" applyFill="1" applyBorder="1" applyAlignment="1">
      <x:alignment horizontal="center"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vertic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6" fillId="4"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horizontal="center"/>
    </x:xf>
    <x:xf numFmtId="0" fontId="7" fillId="6" borderId="1" xfId="0" applyNumberFormat="1" applyFont="1" applyFill="1" applyBorder="1" applyAlignment="1">
      <x:alignment horizontal="center" vertical="center"/>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3" fillId="7" borderId="1" xfId="0" applyNumberFormat="1" applyFont="1" applyFill="1" applyBorder="1" applyAlignment="1">
      <x:alignment horizontal="center" vertical="center"/>
    </x:xf>
  </x:cellXfs>
  <x:cellStyles count="1">
    <x:cellStyle name="Normal" xfId="0"/>
  </x:cellStyles>
  <x:dxfs count="4">
    <x:dxf>
      <x:font>
        <x:b/>
        <x:color rgb="FF215E21"/>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CCCC"/>
        </x:patternFill>
      </x:fill>
    </x:dxf>
    <x:dxf>
      <x:font>
        <x:b/>
        <x:color rgb="FF1F4E78"/>
      </x:font>
      <x:fill>
        <x:patternFill patternType="solid">
          <x:bgColor rgb="FFD9E1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f184652ab84368" /><Relationship Type="http://schemas.openxmlformats.org/officeDocument/2006/relationships/theme" Target="/xl/theme/theme1.xml" Id="R11cc295c94b84205" /><Relationship Type="http://schemas.openxmlformats.org/officeDocument/2006/relationships/sharedStrings" Target="/xl/sharedStrings.xml" Id="R1f79045349114a09" /><Relationship Type="http://schemas.openxmlformats.org/officeDocument/2006/relationships/worksheet" Target="/xl/worksheets/sheet1.xml" Id="R19852d2b12b9413f" /><Relationship Type="http://schemas.openxmlformats.org/officeDocument/2006/relationships/worksheet" Target="/xl/worksheets/sheet2.xml" Id="R885b0234bb744764" /><Relationship Type="http://schemas.openxmlformats.org/officeDocument/2006/relationships/worksheet" Target="/xl/worksheets/sheet3.xml" Id="R4f20da577f2644fb" /></Relationships>
</file>

<file path=xl/tables/table1.xml><?xml version="1.0" encoding="utf-8"?>
<x:table xmlns:x="http://schemas.openxmlformats.org/spreadsheetml/2006/main" id="1" name="EvidenceAuditTable" displayName="EvidenceAuditTable" ref="A1:S13" headerRowCount="1">
  <x:tableColumns count="19">
    <x:tableColumn id="1" name="id"/>
    <x:tableColumn id="2" name="source_accessible"/>
    <x:tableColumn id="3" name="source_is_user_generated"/>
    <x:tableColumn id="4" name="product_match"/>
    <x:tableColumn id="5" name="summary_fidelity"/>
    <x:tableColumn id="6" name="sentiment_review"/>
    <x:tableColumn id="7" name="scenario_review"/>
    <x:tableColumn id="8" name="pain_point_review"/>
    <x:tableColumn id="9" name="severity_review"/>
    <x:tableColumn id="10" name="design_signal_review"/>
    <x:tableColumn id="11" name="duplicate_or_same_thread"/>
    <x:tableColumn id="12" name="recommended_status"/>
    <x:tableColumn id="13" name="corrected_summary"/>
    <x:tableColumn id="14" name="corrected_sentiment"/>
    <x:tableColumn id="15" name="corrected_scenario"/>
    <x:tableColumn id="16" name="corrected_pain_point"/>
    <x:tableColumn id="17" name="corrected_severity"/>
    <x:tableColumn id="18" name="corrected_design_signal"/>
    <x:tableColumn id="19" name="review_reaso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c85ab33b5648dd" /></Relationships>
</file>

<file path=xl/worksheets/sheet1.xml><?xml version="1.0" encoding="utf-8"?>
<x:worksheet xmlns:x="http://schemas.openxmlformats.org/spreadsheetml/2006/main">
  <x:cols>
    <x:col min="1" max="1" width="19" customWidth="1"/>
    <x:col min="2" max="2" width="19" customWidth="1"/>
    <x:col min="3" max="3" width="19" customWidth="1"/>
    <x:col min="4" max="4" width="19" customWidth="1"/>
    <x:col min="5" max="5" width="19" customWidth="1"/>
    <x:col min="6" max="6" width="19" customWidth="1"/>
    <x:col min="7" max="7" width="19" customWidth="1"/>
    <x:col min="8" max="8" width="19" customWidth="1"/>
    <x:col min="9" max="9" width="19" customWidth="1"/>
    <x:col min="10" max="10" width="19" customWidth="1"/>
    <x:col min="11" max="11" width="19" customWidth="1"/>
    <x:col min="12" max="12" width="19" customWidth="1"/>
    <x:col min="13" max="13" width="19" customWidth="1"/>
    <x:col min="14" max="14" width="19" customWidth="1"/>
    <x:col min="15" max="15" width="19" customWidth="1"/>
    <x:col min="16" max="16" width="19" customWidth="1"/>
    <x:col min="17" max="17" width="19" customWidth="1"/>
    <x:col min="18" max="18" width="19" customWidth="1"/>
  </x:cols>
  <x:sheetData>
    <x:row r="1" ht="13" customHeight="1">
      <x:c r="A1" s="1" t="inlineStr">
        <x:is>
          <x:t xml:space="preserve">id</x:t>
        </x:is>
      </x:c>
      <x:c r="B1" s="1" t="inlineStr">
        <x:is>
          <x:t xml:space="preserve">platform</x:t>
        </x:is>
      </x:c>
      <x:c r="C1" s="1" t="inlineStr">
        <x:is>
          <x:t xml:space="preserve">brand</x:t>
        </x:is>
      </x:c>
      <x:c r="D1" s="1" t="inlineStr">
        <x:is>
          <x:t xml:space="preserve">product_name</x:t>
        </x:is>
      </x:c>
      <x:c r="E1" s="1" t="inlineStr">
        <x:is>
          <x:t xml:space="preserve">raw_text_summary</x:t>
        </x:is>
      </x:c>
      <x:c r="F1" s="1" t="inlineStr">
        <x:is>
          <x:t xml:space="preserve">sentiment</x:t>
        </x:is>
      </x:c>
      <x:c r="G1" s="1" t="inlineStr">
        <x:is>
          <x:t xml:space="preserve">scenario</x:t>
        </x:is>
      </x:c>
      <x:c r="H1" s="1" t="inlineStr">
        <x:is>
          <x:t xml:space="preserve">pain_point</x:t>
        </x:is>
      </x:c>
      <x:c r="I1" s="1" t="inlineStr">
        <x:is>
          <x:t xml:space="preserve">severity</x:t>
        </x:is>
      </x:c>
      <x:c r="J1" s="1" t="inlineStr">
        <x:is>
          <x:t xml:space="preserve">design_signal</x:t>
        </x:is>
      </x:c>
      <x:c r="K1" s="1" t="inlineStr">
        <x:is>
          <x:t xml:space="preserve">source_url</x:t>
        </x:is>
      </x:c>
      <x:c r="L1" s="1" t="inlineStr">
        <x:is>
          <x:t xml:space="preserve">source_post_title</x:t>
        </x:is>
      </x:c>
      <x:c r="M1" s="1" t="inlineStr">
        <x:is>
          <x:t xml:space="preserve">source_date</x:t>
        </x:is>
      </x:c>
      <x:c r="N1" s="1" t="inlineStr">
        <x:is>
          <x:t xml:space="preserve">quote_usable</x:t>
        </x:is>
      </x:c>
      <x:c r="O1" s="1" t="inlineStr">
        <x:is>
          <x:t xml:space="preserve">confidence</x:t>
        </x:is>
      </x:c>
      <x:c r="P1" s="1" t="inlineStr">
        <x:is>
          <x:t xml:space="preserve">market_relevance</x:t>
        </x:is>
      </x:c>
      <x:c r="Q1" s="1" t="inlineStr">
        <x:is>
          <x:t xml:space="preserve">collector</x:t>
        </x:is>
      </x:c>
      <x:c r="R1" s="1" t="inlineStr">
        <x:is>
          <x:t xml:space="preserve">collected_at</x:t>
        </x:is>
      </x:c>
    </x:row>
    <x:row r="2" ht="25.5" customHeight="1">
      <x:c r="A2" t="inlineStr">
        <x:is>
          <x:t xml:space="preserve">UGF-001</x:t>
        </x:is>
      </x:c>
      <x:c r="B2" t="inlineStr">
        <x:is>
          <x:t xml:space="preserve">Reddit</x:t>
        </x:is>
      </x:c>
      <x:c r="C2" t="inlineStr">
        <x:is>
          <x:t xml:space="preserve">UGREEN</x:t>
        </x:is>
      </x:c>
      <x:c r="D2" t="inlineStr">
        <x:is>
          <x:t xml:space="preserve">UGREEN Nexode 65W Retractable Charger</x:t>
        </x:is>
      </x:c>
      <x:c r="E2" t="inlineStr">
        <x:is>
          <x:t xml:space="preserve">用户在同时给 MacBook Pro 和 Pixel 充电时无法直观看懂 45W/20W 分配规则，最终需要通过插拔顺序控制高功率端。</x:t>
        </x:is>
      </x:c>
      <x:c r="F2" t="inlineStr">
        <x:is>
          <x:t xml:space="preserve">negative</x:t>
        </x:is>
      </x:c>
      <x:c r="G2" t="inlineStr">
        <x:is>
          <x:t xml:space="preserve">multi_device</x:t>
        </x:is>
      </x:c>
      <x:c r="H2" t="inlineStr">
        <x:is>
          <x:t xml:space="preserve">power_allocation</x:t>
        </x:is>
      </x:c>
      <x:c r="I2">
        <x:v>4</x:v>
      </x:c>
      <x:c r="J2" t="inlineStr">
        <x:is>
          <x:t xml:space="preserve">多口充电器应直接显示端口优先级和当前分配，避免用户靠插拔顺序试错。</x:t>
        </x:is>
      </x:c>
      <x:c r="K2" s="2" t="e">
        <x:f>=HYPERLINK("https://www.reddit.com/r/UsbCHardware/comments/1ry9knf/ugreen_nexode_65w_retractable_usb_c_charger_multi/", "https://www.reddit.com/r/UsbCHardware/comments/1ry9knf/ugreen_nexode_65w_retractable_usb_c_charger_multi/")</x:f>
      </x:c>
      <x:c r="L2" t="inlineStr">
        <x:is>
          <x:t xml:space="preserve">UGREEN 65W retractable USB-C charger multi-port configuration</x:t>
        </x:is>
      </x:c>
      <x:c r="M2" t="inlineStr">
        <x:is>
          <x:t xml:space="preserve">2026-03-19</x:t>
        </x:is>
      </x:c>
      <x:c r="N2" t="inlineStr">
        <x:is>
          <x:t xml:space="preserve">no</x:t>
        </x:is>
      </x:c>
      <x:c r="O2" t="inlineStr">
        <x:is>
          <x:t xml:space="preserve">medium</x:t>
        </x:is>
      </x:c>
      <x:c r="P2" t="inlineStr">
        <x:is>
          <x:t xml:space="preserve">North America-relevant USB-C laptop and phone workflow</x:t>
        </x:is>
      </x:c>
      <x:c r="Q2" t="inlineStr">
        <x:is>
          <x:t xml:space="preserve">Codex</x:t>
        </x:is>
      </x:c>
      <x:c r="R2" t="inlineStr">
        <x:is>
          <x:t xml:space="preserve">2026-07-12</x:t>
        </x:is>
      </x:c>
    </x:row>
    <x:row r="3" ht="25.5" customHeight="1">
      <x:c r="A3" t="inlineStr">
        <x:is>
          <x:t xml:space="preserve">UGF-002</x:t>
        </x:is>
      </x:c>
      <x:c r="B3" t="inlineStr">
        <x:is>
          <x:t xml:space="preserve">Reddit</x:t>
        </x:is>
      </x:c>
      <x:c r="C3" t="inlineStr">
        <x:is>
          <x:t xml:space="preserve">UGREEN</x:t>
        </x:is>
      </x:c>
      <x:c r="D3" t="inlineStr">
        <x:is>
          <x:t xml:space="preserve">UGREEN Nexode Pro 100W</x:t>
        </x:is>
      </x:c>
      <x:c r="E3" t="inlineStr">
        <x:is>
          <x:t xml:space="preserve">用户报告在约 80W 持续负载下外壳温度异常高，并担心安全性与是否应该退货。</x:t>
        </x:is>
      </x:c>
      <x:c r="F3" t="inlineStr">
        <x:is>
          <x:t xml:space="preserve">negative</x:t>
        </x:is>
      </x:c>
      <x:c r="G3" t="inlineStr">
        <x:is>
          <x:t xml:space="preserve">sustained_laptop_load</x:t>
        </x:is>
      </x:c>
      <x:c r="H3" t="inlineStr">
        <x:is>
          <x:t xml:space="preserve">heat</x:t>
        </x:is>
      </x:c>
      <x:c r="I3">
        <x:v>5</x:v>
      </x:c>
      <x:c r="J3" t="inlineStr">
        <x:is>
          <x:t xml:space="preserve">高功率产品需要持续负载温控、降额提示和可理解的安全反馈。</x:t>
        </x:is>
      </x:c>
      <x:c r="K3" s="2" t="e">
        <x:f>=HYPERLINK("https://www.reddit.com/r/UsbCHardware/comments/1cxfyg2/ugreen_100w_gan_charger_gets_scorching_hot/", "https://www.reddit.com/r/UsbCHardware/comments/1cxfyg2/ugreen_100w_gan_charger_gets_scorching_hot/")</x:f>
      </x:c>
      <x:c r="L3" t="inlineStr">
        <x:is>
          <x:t xml:space="preserve">UGREEN 100W GaN charger gets scorching hot</x:t>
        </x:is>
      </x:c>
      <x:c r="M3" t="inlineStr">
        <x:is>
          <x:t xml:space="preserve">2024-05-21</x:t>
        </x:is>
      </x:c>
      <x:c r="N3" t="inlineStr">
        <x:is>
          <x:t xml:space="preserve">no</x:t>
        </x:is>
      </x:c>
      <x:c r="O3" t="inlineStr">
        <x:is>
          <x:t xml:space="preserve">medium</x:t>
        </x:is>
      </x:c>
      <x:c r="P3" t="inlineStr">
        <x:is>
          <x:t xml:space="preserve">North America-relevant high-power laptop charging</x:t>
        </x:is>
      </x:c>
      <x:c r="Q3" t="inlineStr">
        <x:is>
          <x:t xml:space="preserve">Codex</x:t>
        </x:is>
      </x:c>
      <x:c r="R3" t="inlineStr">
        <x:is>
          <x:t xml:space="preserve">2026-07-12</x:t>
        </x:is>
      </x:c>
    </x:row>
    <x:row r="4" ht="25.5" customHeight="1">
      <x:c r="A4" t="inlineStr">
        <x:is>
          <x:t xml:space="preserve">UGF-003</x:t>
        </x:is>
      </x:c>
      <x:c r="B4" t="inlineStr">
        <x:is>
          <x:t xml:space="preserve">Reddit</x:t>
        </x:is>
      </x:c>
      <x:c r="C4" t="inlineStr">
        <x:is>
          <x:t xml:space="preserve">UGREEN</x:t>
        </x:is>
      </x:c>
      <x:c r="D4" t="inlineStr">
        <x:is>
          <x:t xml:space="preserve">UGREEN Nexode 100W 4-Port</x:t>
        </x:is>
      </x:c>
      <x:c r="E4" t="inlineStr">
        <x:is>
          <x:t xml:space="preserve">用户发现仅连接闲置 Lightning 线也会触发固定功率档位，导致 MacBook 功率下降，需要重新插拔恢复。</x:t>
        </x:is>
      </x:c>
      <x:c r="F4" t="inlineStr">
        <x:is>
          <x:t xml:space="preserve">negative</x:t>
        </x:is>
      </x:c>
      <x:c r="G4" t="inlineStr">
        <x:is>
          <x:t xml:space="preserve">laptop_plus_phone</x:t>
        </x:is>
      </x:c>
      <x:c r="H4" t="inlineStr">
        <x:is>
          <x:t xml:space="preserve">power_allocation</x:t>
        </x:is>
      </x:c>
      <x:c r="I4">
        <x:v>5</x:v>
      </x:c>
      <x:c r="J4" t="inlineStr">
        <x:is>
          <x:t xml:space="preserve">功率分配应识别真实负载，并解释线缆占位为何影响主设备功率。</x:t>
        </x:is>
      </x:c>
      <x:c r="K4" s="2" t="e">
        <x:f>=HYPERLINK("https://www.reddit.com/r/UsbCHardware/comments/1f6kmno/disappointing_ugreen_100w_4_port_charging_logic/", "https://www.reddit.com/r/UsbCHardware/comments/1f6kmno/disappointing_ugreen_100w_4_port_charging_logic/")</x:f>
      </x:c>
      <x:c r="L4" t="inlineStr">
        <x:is>
          <x:t xml:space="preserve">Disappointing UGREEN 100W 4-port charging logic</x:t>
        </x:is>
      </x:c>
      <x:c r="M4" t="inlineStr">
        <x:is>
          <x:t xml:space="preserve">2024-09-01</x:t>
        </x:is>
      </x:c>
      <x:c r="N4" t="inlineStr">
        <x:is>
          <x:t xml:space="preserve">no</x:t>
        </x:is>
      </x:c>
      <x:c r="O4" t="inlineStr">
        <x:is>
          <x:t xml:space="preserve">medium</x:t>
        </x:is>
      </x:c>
      <x:c r="P4" t="inlineStr">
        <x:is>
          <x:t xml:space="preserve">North America-relevant mixed Apple device workflow</x:t>
        </x:is>
      </x:c>
      <x:c r="Q4" t="inlineStr">
        <x:is>
          <x:t xml:space="preserve">Codex</x:t>
        </x:is>
      </x:c>
      <x:c r="R4" t="inlineStr">
        <x:is>
          <x:t xml:space="preserve">2026-07-12</x:t>
        </x:is>
      </x:c>
    </x:row>
    <x:row r="5" ht="25.5" customHeight="1">
      <x:c r="A5" t="inlineStr">
        <x:is>
          <x:t xml:space="preserve">UGF-004</x:t>
        </x:is>
      </x:c>
      <x:c r="B5" t="inlineStr">
        <x:is>
          <x:t xml:space="preserve">Reddit</x:t>
        </x:is>
      </x:c>
      <x:c r="C5" t="inlineStr">
        <x:is>
          <x:t xml:space="preserve">UGREEN</x:t>
        </x:is>
      </x:c>
      <x:c r="D5" t="inlineStr">
        <x:is>
          <x:t xml:space="preserve">UGREEN Nexode X 65W</x:t>
        </x:is>
      </x:c>
      <x:c r="E5" t="inlineStr">
        <x:is>
          <x:t xml:space="preserve">用户称持续高负载后充电器因温度降到约 25W，认为小体积与持续输出能力存在冲突。</x:t>
        </x:is>
      </x:c>
      <x:c r="F5" t="inlineStr">
        <x:is>
          <x:t xml:space="preserve">negative</x:t>
        </x:is>
      </x:c>
      <x:c r="G5" t="inlineStr">
        <x:is>
          <x:t xml:space="preserve">sustained_laptop_load</x:t>
        </x:is>
      </x:c>
      <x:c r="H5" t="inlineStr">
        <x:is>
          <x:t xml:space="preserve">heat</x:t>
        </x:is>
      </x:c>
      <x:c r="I5">
        <x:v>4</x:v>
      </x:c>
      <x:c r="J5" t="inlineStr">
        <x:is>
          <x:t xml:space="preserve">规格页和设备屏幕应区分峰值功率与可持续功率，并显示热降额状态。</x:t>
        </x:is>
      </x:c>
      <x:c r="K5" s="2" t="e">
        <x:f>=HYPERLINK("https://www.reddit.com/r/UsbCHardware/comments/1ej8pbm/ugreen_nexode_x_gan_65w_charger_gets_hot_causing/", "https://www.reddit.com/r/UsbCHardware/comments/1ej8pbm/ugreen_nexode_x_gan_65w_charger_gets_hot_causing/")</x:f>
      </x:c>
      <x:c r="L5" t="inlineStr">
        <x:is>
          <x:t xml:space="preserve">UGREEN Nexode X GaN 65W charger gets hot causing thermal throttling</x:t>
        </x:is>
      </x:c>
      <x:c r="M5" t="inlineStr">
        <x:is>
          <x:t xml:space="preserve">2024-08-03</x:t>
        </x:is>
      </x:c>
      <x:c r="N5" t="inlineStr">
        <x:is>
          <x:t xml:space="preserve">no</x:t>
        </x:is>
      </x:c>
      <x:c r="O5" t="inlineStr">
        <x:is>
          <x:t xml:space="preserve">medium</x:t>
        </x:is>
      </x:c>
      <x:c r="P5" t="inlineStr">
        <x:is>
          <x:t xml:space="preserve">North America-relevant compact charger use</x:t>
        </x:is>
      </x:c>
      <x:c r="Q5" t="inlineStr">
        <x:is>
          <x:t xml:space="preserve">Codex</x:t>
        </x:is>
      </x:c>
      <x:c r="R5" t="inlineStr">
        <x:is>
          <x:t xml:space="preserve">2026-07-12</x:t>
        </x:is>
      </x:c>
    </x:row>
    <x:row r="6" ht="25.5" customHeight="1">
      <x:c r="A6" t="inlineStr">
        <x:is>
          <x:t xml:space="preserve">UGF-005</x:t>
        </x:is>
      </x:c>
      <x:c r="B6" t="inlineStr">
        <x:is>
          <x:t xml:space="preserve">Reddit</x:t>
        </x:is>
      </x:c>
      <x:c r="C6" t="inlineStr">
        <x:is>
          <x:t xml:space="preserve">Anker</x:t>
        </x:is>
      </x:c>
      <x:c r="D6" t="inlineStr">
        <x:is>
          <x:t xml:space="preserve">Anker Prime Charger 250W</x:t>
        </x:is>
      </x:c>
      <x:c r="E6" t="inlineStr">
        <x:is>
          <x:t xml:space="preserve">用户用相同设备和线材比较后，发现 Prime 250W 对部分设备的实际输出低于其他 Anker 电源。</x:t>
        </x:is>
      </x:c>
      <x:c r="F6" t="inlineStr">
        <x:is>
          <x:t xml:space="preserve">negative</x:t>
        </x:is>
      </x:c>
      <x:c r="G6" t="inlineStr">
        <x:is>
          <x:t xml:space="preserve">desktop_workstation</x:t>
        </x:is>
      </x:c>
      <x:c r="H6" t="inlineStr">
        <x:is>
          <x:t xml:space="preserve">power_output_consistency</x:t>
        </x:is>
      </x:c>
      <x:c r="I6">
        <x:v>4</x:v>
      </x:c>
      <x:c r="J6" t="inlineStr">
        <x:is>
          <x:t xml:space="preserve">状态屏应同时解释协商功率、设备请求和实际输出差异。</x:t>
        </x:is>
      </x:c>
      <x:c r="K6" s="2" t="e">
        <x:f>=HYPERLINK("https://www.reddit.com/r/UsbCHardware/comments/1i4zr6j/unexpected_lower_power_output_from_anker_prime/", "https://www.reddit.com/r/UsbCHardware/comments/1i4zr6j/unexpected_lower_power_output_from_anker_prime/")</x:f>
      </x:c>
      <x:c r="L6" t="inlineStr">
        <x:is>
          <x:t xml:space="preserve">Unexpected lower power output from Anker Prime 250W</x:t>
        </x:is>
      </x:c>
      <x:c r="M6" t="inlineStr">
        <x:is>
          <x:t xml:space="preserve">2025-01-19</x:t>
        </x:is>
      </x:c>
      <x:c r="N6" t="inlineStr">
        <x:is>
          <x:t xml:space="preserve">no</x:t>
        </x:is>
      </x:c>
      <x:c r="O6" t="inlineStr">
        <x:is>
          <x:t xml:space="preserve">medium</x:t>
        </x:is>
      </x:c>
      <x:c r="P6" t="inlineStr">
        <x:is>
          <x:t xml:space="preserve">North America-relevant premium desktop charging</x:t>
        </x:is>
      </x:c>
      <x:c r="Q6" t="inlineStr">
        <x:is>
          <x:t xml:space="preserve">Codex</x:t>
        </x:is>
      </x:c>
      <x:c r="R6" t="inlineStr">
        <x:is>
          <x:t xml:space="preserve">2026-07-12</x:t>
        </x:is>
      </x:c>
    </x:row>
    <x:row r="7" ht="25.5" customHeight="1">
      <x:c r="A7" t="inlineStr">
        <x:is>
          <x:t xml:space="preserve">UGF-006</x:t>
        </x:is>
      </x:c>
      <x:c r="B7" t="inlineStr">
        <x:is>
          <x:t xml:space="preserve">Reddit</x:t>
        </x:is>
      </x:c>
      <x:c r="C7" t="inlineStr">
        <x:is>
          <x:t xml:space="preserve">Anker</x:t>
        </x:is>
      </x:c>
      <x:c r="D7" t="inlineStr">
        <x:is>
          <x:t xml:space="preserve">Anker Prime Charger 250W</x:t>
        </x:is>
      </x:c>
      <x:c r="E7" t="inlineStr">
        <x:is>
          <x:t xml:space="preserve">用户认可屏幕能显示各端口功率，但反馈相邻接口在插线后较拥挤，混用 USB-A/C 时桌面走线不够整洁。</x:t>
        </x:is>
      </x:c>
      <x:c r="F7" t="inlineStr">
        <x:is>
          <x:t xml:space="preserve">mixed</x:t>
        </x:is>
      </x:c>
      <x:c r="G7" t="inlineStr">
        <x:is>
          <x:t xml:space="preserve">multi_device_desktop</x:t>
        </x:is>
      </x:c>
      <x:c r="H7" t="inlineStr">
        <x:is>
          <x:t xml:space="preserve">port_layout</x:t>
        </x:is>
      </x:c>
      <x:c r="I7">
        <x:v>3</x:v>
      </x:c>
      <x:c r="J7" t="inlineStr">
        <x:is>
          <x:t xml:space="preserve">端口间距和出线方向应按真实线材尺寸验证，并纳入桌面线缆组织设计。</x:t>
        </x:is>
      </x:c>
      <x:c r="K7" s="2" t="e">
        <x:f>=HYPERLINK("https://www.reddit.com/r/anker/comments/1gwuuhz/anker_prime_charger_250w/", "https://www.reddit.com/r/anker/comments/1gwuuhz/anker_prime_charger_250w/")</x:f>
      </x:c>
      <x:c r="L7" t="inlineStr">
        <x:is>
          <x:t xml:space="preserve">Anker Prime Charger, 250W</x:t>
        </x:is>
      </x:c>
      <x:c r="M7" t="inlineStr">
        <x:is>
          <x:t xml:space="preserve">2024-11-22</x:t>
        </x:is>
      </x:c>
      <x:c r="N7" t="inlineStr">
        <x:is>
          <x:t xml:space="preserve">no</x:t>
        </x:is>
      </x:c>
      <x:c r="O7" t="inlineStr">
        <x:is>
          <x:t xml:space="preserve">medium</x:t>
        </x:is>
      </x:c>
      <x:c r="P7" t="inlineStr">
        <x:is>
          <x:t xml:space="preserve">North America-relevant desktop charging setup</x:t>
        </x:is>
      </x:c>
      <x:c r="Q7" t="inlineStr">
        <x:is>
          <x:t xml:space="preserve">Codex</x:t>
        </x:is>
      </x:c>
      <x:c r="R7" t="inlineStr">
        <x:is>
          <x:t xml:space="preserve">2026-07-12</x:t>
        </x:is>
      </x:c>
    </x:row>
    <x:row r="8" ht="25.5" customHeight="1">
      <x:c r="A8" t="inlineStr">
        <x:is>
          <x:t xml:space="preserve">UGF-007</x:t>
        </x:is>
      </x:c>
      <x:c r="B8" t="inlineStr">
        <x:is>
          <x:t xml:space="preserve">Reddit</x:t>
        </x:is>
      </x:c>
      <x:c r="C8" t="inlineStr">
        <x:is>
          <x:t xml:space="preserve">Anker</x:t>
        </x:is>
      </x:c>
      <x:c r="D8" t="inlineStr">
        <x:is>
          <x:t xml:space="preserve">Anker Prime Charging Docking Station 14-in-1</x:t>
        </x:is>
      </x:c>
      <x:c r="E8" t="inlineStr">
        <x:is>
          <x:t xml:space="preserve">用户反馈 Mac 连接双显示器时只能镜像，购买前未充分理解系统和扩展显示兼容限制。</x:t>
        </x:is>
      </x:c>
      <x:c r="F8" t="inlineStr">
        <x:is>
          <x:t xml:space="preserve">negative</x:t>
        </x:is>
      </x:c>
      <x:c r="G8" t="inlineStr">
        <x:is>
          <x:t xml:space="preserve">dual_monitor_workstation</x:t>
        </x:is>
      </x:c>
      <x:c r="H8" t="inlineStr">
        <x:is>
          <x:t xml:space="preserve">display_compatibility</x:t>
        </x:is>
      </x:c>
      <x:c r="I8">
        <x:v>5</x:v>
      </x:c>
      <x:c r="J8" t="inlineStr">
        <x:is>
          <x:t xml:space="preserve">扩展坞应在购买与设置流程中按操作系统明确展示可扩展/仅镜像的拓扑。</x:t>
        </x:is>
      </x:c>
      <x:c r="K8" s="2" t="e">
        <x:f>=HYPERLINK("https://www.reddit.com/r/anker/comments/1e6ra4w/new_details_14in1_prime_charging_docking_station/", "https://www.reddit.com/r/anker/comments/1e6ra4w/new_details_14in1_prime_charging_docking_station/")</x:f>
      </x:c>
      <x:c r="L8" t="inlineStr">
        <x:is>
          <x:t xml:space="preserve">New details: 14-in-1 Prime Charging Docking Station</x:t>
        </x:is>
      </x:c>
      <x:c r="M8" t="inlineStr">
        <x:is>
          <x:t xml:space="preserve">2024-07-19</x:t>
        </x:is>
      </x:c>
      <x:c r="N8" t="inlineStr">
        <x:is>
          <x:t xml:space="preserve">no</x:t>
        </x:is>
      </x:c>
      <x:c r="O8" t="inlineStr">
        <x:is>
          <x:t xml:space="preserve">medium</x:t>
        </x:is>
      </x:c>
      <x:c r="P8" t="inlineStr">
        <x:is>
          <x:t xml:space="preserve">North America-relevant Mac multi-monitor workflow</x:t>
        </x:is>
      </x:c>
      <x:c r="Q8" t="inlineStr">
        <x:is>
          <x:t xml:space="preserve">Codex</x:t>
        </x:is>
      </x:c>
      <x:c r="R8" t="inlineStr">
        <x:is>
          <x:t xml:space="preserve">2026-07-12</x:t>
        </x:is>
      </x:c>
    </x:row>
    <x:row r="9" ht="25.5" customHeight="1">
      <x:c r="A9" t="inlineStr">
        <x:is>
          <x:t xml:space="preserve">UGF-008</x:t>
        </x:is>
      </x:c>
      <x:c r="B9" t="inlineStr">
        <x:is>
          <x:t xml:space="preserve">Reddit</x:t>
        </x:is>
      </x:c>
      <x:c r="C9" t="inlineStr">
        <x:is>
          <x:t xml:space="preserve">Anker</x:t>
        </x:is>
      </x:c>
      <x:c r="D9" t="inlineStr">
        <x:is>
          <x:t xml:space="preserve">Anker Prime TB5 Docking Station</x:t>
        </x:is>
      </x:c>
      <x:c r="E9" t="inlineStr">
        <x:is>
          <x:t xml:space="preserve">用户测试发现系统默认网卡驱动限制 2.5GbE 吞吐量，手动安装 Realtek 驱动后恢复，但官方说明未提示。</x:t>
        </x:is>
      </x:c>
      <x:c r="F9" t="inlineStr">
        <x:is>
          <x:t xml:space="preserve">negative</x:t>
        </x:is>
      </x:c>
      <x:c r="G9" t="inlineStr">
        <x:is>
          <x:t xml:space="preserve">high_performance_workstation</x:t>
        </x:is>
      </x:c>
      <x:c r="H9" t="inlineStr">
        <x:is>
          <x:t xml:space="preserve">driver_setup</x:t>
        </x:is>
      </x:c>
      <x:c r="I9">
        <x:v>4</x:v>
      </x:c>
      <x:c r="J9" t="inlineStr">
        <x:is>
          <x:t xml:space="preserve">Dock Manager 应检测关键驱动版本并给出平台化安装提示。</x:t>
        </x:is>
      </x:c>
      <x:c r="K9" s="2" t="e">
        <x:f>=HYPERLINK("https://www.reddit.com/r/anker/comments/1k64u5l/anker_prime_tb5_dock/", "https://www.reddit.com/r/anker/comments/1k64u5l/anker_prime_tb5_dock/")</x:f>
      </x:c>
      <x:c r="L9" t="inlineStr">
        <x:is>
          <x:t xml:space="preserve">Anker Prime TB5 Dock</x:t>
        </x:is>
      </x:c>
      <x:c r="M9" t="inlineStr">
        <x:is>
          <x:t xml:space="preserve">2025-04-24</x:t>
        </x:is>
      </x:c>
      <x:c r="N9" t="inlineStr">
        <x:is>
          <x:t xml:space="preserve">no</x:t>
        </x:is>
      </x:c>
      <x:c r="O9" t="inlineStr">
        <x:is>
          <x:t xml:space="preserve">medium</x:t>
        </x:is>
      </x:c>
      <x:c r="P9" t="inlineStr">
        <x:is>
          <x:t xml:space="preserve">North America-relevant Windows and macOS workstation</x:t>
        </x:is>
      </x:c>
      <x:c r="Q9" t="inlineStr">
        <x:is>
          <x:t xml:space="preserve">Codex</x:t>
        </x:is>
      </x:c>
      <x:c r="R9" t="inlineStr">
        <x:is>
          <x:t xml:space="preserve">2026-07-12</x:t>
        </x:is>
      </x:c>
    </x:row>
    <x:row r="10" ht="25.5" customHeight="1">
      <x:c r="A10" t="inlineStr">
        <x:is>
          <x:t xml:space="preserve">UGF-009</x:t>
        </x:is>
      </x:c>
      <x:c r="B10" t="inlineStr">
        <x:is>
          <x:t xml:space="preserve">Reddit</x:t>
        </x:is>
      </x:c>
      <x:c r="C10" t="inlineStr">
        <x:is>
          <x:t xml:space="preserve">Anker</x:t>
        </x:is>
      </x:c>
      <x:c r="D10" t="inlineStr">
        <x:is>
          <x:t xml:space="preserve">Anker Prime DL7400 Docking Station</x:t>
        </x:is>
      </x:c>
      <x:c r="E10" t="inlineStr">
        <x:is>
          <x:t xml:space="preserve">重度办公用户认可内置 GaN 电源减少桌下电源砖和线缆，并称多屏安装流程顺畅。</x:t>
        </x:is>
      </x:c>
      <x:c r="F10" t="inlineStr">
        <x:is>
          <x:t xml:space="preserve">positive</x:t>
        </x:is>
      </x:c>
      <x:c r="G10" t="inlineStr">
        <x:is>
          <x:t xml:space="preserve">home_office</x:t>
        </x:is>
      </x:c>
      <x:c r="H10" t="inlineStr">
        <x:is>
          <x:t xml:space="preserve">cable_clutter</x:t>
        </x:is>
      </x:c>
      <x:c r="I10">
        <x:v>3</x:v>
      </x:c>
      <x:c r="J10" t="inlineStr">
        <x:is>
          <x:t xml:space="preserve">内置电源和单根交流线是明确桌面整理价值，应与兼容引导同时保留。</x:t>
        </x:is>
      </x:c>
      <x:c r="K10" s="2" t="e">
        <x:f>=HYPERLINK("https://www.reddit.com/r/UsbCHardware/comments/1ry0piz/review_anker_prime_dl7400_docking_station_after/", "https://www.reddit.com/r/UsbCHardware/comments/1ry0piz/review_anker_prime_dl7400_docking_station_after/")</x:f>
      </x:c>
      <x:c r="L10" t="inlineStr">
        <x:is>
          <x:t xml:space="preserve">Review: Anker Prime DL7400 Docking Station after two weeks of heavy use</x:t>
        </x:is>
      </x:c>
      <x:c r="M10" t="inlineStr">
        <x:is>
          <x:t xml:space="preserve">2026-03-19</x:t>
        </x:is>
      </x:c>
      <x:c r="N10" t="inlineStr">
        <x:is>
          <x:t xml:space="preserve">no</x:t>
        </x:is>
      </x:c>
      <x:c r="O10" t="inlineStr">
        <x:is>
          <x:t xml:space="preserve">medium</x:t>
        </x:is>
      </x:c>
      <x:c r="P10" t="inlineStr">
        <x:is>
          <x:t xml:space="preserve">North America-relevant home office workflow</x:t>
        </x:is>
      </x:c>
      <x:c r="Q10" t="inlineStr">
        <x:is>
          <x:t xml:space="preserve">Codex</x:t>
        </x:is>
      </x:c>
      <x:c r="R10" t="inlineStr">
        <x:is>
          <x:t xml:space="preserve">2026-07-12</x:t>
        </x:is>
      </x:c>
    </x:row>
    <x:row r="11" ht="25.5" customHeight="1">
      <x:c r="A11" t="inlineStr">
        <x:is>
          <x:t xml:space="preserve">UGF-010</x:t>
        </x:is>
      </x:c>
      <x:c r="B11" t="inlineStr">
        <x:is>
          <x:t xml:space="preserve">Reddit</x:t>
        </x:is>
      </x:c>
      <x:c r="C11" t="inlineStr">
        <x:is>
          <x:t xml:space="preserve">SHARGE</x:t>
        </x:is>
      </x:c>
      <x:c r="D11" t="inlineStr">
        <x:is>
          <x:t xml:space="preserve">Shargeek 170</x:t>
        </x:is>
      </x:c>
      <x:c r="E11" t="inlineStr">
        <x:is>
          <x:t xml:space="preserve">用户报告电量百分比与实际可用容量不一致，设备在显示仍有余量时提前关机。</x:t>
        </x:is>
      </x:c>
      <x:c r="F11" t="inlineStr">
        <x:is>
          <x:t xml:space="preserve">negative</x:t>
        </x:is>
      </x:c>
      <x:c r="G11" t="inlineStr">
        <x:is>
          <x:t xml:space="preserve">travel_power</x:t>
        </x:is>
      </x:c>
      <x:c r="H11" t="inlineStr">
        <x:is>
          <x:t xml:space="preserve">battery_gauge_accuracy</x:t>
        </x:is>
      </x:c>
      <x:c r="I11">
        <x:v>5</x:v>
      </x:c>
      <x:c r="J11" t="inlineStr">
        <x:is>
          <x:t xml:space="preserve">移动电源应显示可信的剩余能量与校准状态，并在异常衰减时提示诊断。</x:t>
        </x:is>
      </x:c>
      <x:c r="K11" s="2" t="e">
        <x:f>=HYPERLINK("https://www.reddit.com/r/shargeek/comments/1blfh7h/shargeek_170_issue/", "https://www.reddit.com/r/shargeek/comments/1blfh7h/shargeek_170_issue/")</x:f>
      </x:c>
      <x:c r="L11" t="inlineStr">
        <x:is>
          <x:t xml:space="preserve">Shargeek 170 issue</x:t>
        </x:is>
      </x:c>
      <x:c r="M11" t="inlineStr">
        <x:is>
          <x:t xml:space="preserve">2024-03-23</x:t>
        </x:is>
      </x:c>
      <x:c r="N11" t="inlineStr">
        <x:is>
          <x:t xml:space="preserve">no</x:t>
        </x:is>
      </x:c>
      <x:c r="O11" t="inlineStr">
        <x:is>
          <x:t xml:space="preserve">medium</x:t>
        </x:is>
      </x:c>
      <x:c r="P11" t="inlineStr">
        <x:is>
          <x:t xml:space="preserve">North America-relevant mobile office and travel power</x:t>
        </x:is>
      </x:c>
      <x:c r="Q11" t="inlineStr">
        <x:is>
          <x:t xml:space="preserve">Codex</x:t>
        </x:is>
      </x:c>
      <x:c r="R11" t="inlineStr">
        <x:is>
          <x:t xml:space="preserve">2026-07-12</x:t>
        </x:is>
      </x:c>
    </x:row>
    <x:row r="12" ht="25.5" customHeight="1">
      <x:c r="A12" t="inlineStr">
        <x:is>
          <x:t xml:space="preserve">UGF-011</x:t>
        </x:is>
      </x:c>
      <x:c r="B12" t="inlineStr">
        <x:is>
          <x:t xml:space="preserve">Reddit</x:t>
        </x:is>
      </x:c>
      <x:c r="C12" t="inlineStr">
        <x:is>
          <x:t xml:space="preserve">SHARGE</x:t>
        </x:is>
      </x:c>
      <x:c r="D12" t="inlineStr">
        <x:is>
          <x:t xml:space="preserve">Shargeek 170</x:t>
        </x:is>
      </x:c>
      <x:c r="E12" t="inlineStr">
        <x:is>
          <x:t xml:space="preserve">用户认为显示屏只显示瓦数、缺少电压和电流信息，并遇到与双向 DJI 电池充电器协商失败。</x:t>
        </x:is>
      </x:c>
      <x:c r="F12" t="inlineStr">
        <x:is>
          <x:t xml:space="preserve">negative</x:t>
        </x:is>
      </x:c>
      <x:c r="G12" t="inlineStr">
        <x:is>
          <x:t xml:space="preserve">creator_travel</x:t>
        </x:is>
      </x:c>
      <x:c r="H12" t="inlineStr">
        <x:is>
          <x:t xml:space="preserve">protocol_compatibility</x:t>
        </x:is>
      </x:c>
      <x:c r="I12">
        <x:v>4</x:v>
      </x:c>
      <x:c r="J12" t="inlineStr">
        <x:is>
          <x:t xml:space="preserve">专业用户需要更完整的电气状态和双向供电方向提示。</x:t>
        </x:is>
      </x:c>
      <x:c r="K12" s="2" t="e">
        <x:f>=HYPERLINK("https://www.reddit.com/r/shargeek/comments/193qc7w/shargeek_170_came_in_today/", "https://www.reddit.com/r/shargeek/comments/193qc7w/shargeek_170_came_in_today/")</x:f>
      </x:c>
      <x:c r="L12" t="inlineStr">
        <x:is>
          <x:t xml:space="preserve">Shargeek 170 came in today</x:t>
        </x:is>
      </x:c>
      <x:c r="M12" t="inlineStr">
        <x:is>
          <x:t xml:space="preserve">2024-01-11</x:t>
        </x:is>
      </x:c>
      <x:c r="N12" t="inlineStr">
        <x:is>
          <x:t xml:space="preserve">no</x:t>
        </x:is>
      </x:c>
      <x:c r="O12" t="inlineStr">
        <x:is>
          <x:t xml:space="preserve">medium</x:t>
        </x:is>
      </x:c>
      <x:c r="P12" t="inlineStr">
        <x:is>
          <x:t xml:space="preserve">North America-relevant creator and drone workflow</x:t>
        </x:is>
      </x:c>
      <x:c r="Q12" t="inlineStr">
        <x:is>
          <x:t xml:space="preserve">Codex</x:t>
        </x:is>
      </x:c>
      <x:c r="R12" t="inlineStr">
        <x:is>
          <x:t xml:space="preserve">2026-07-12</x:t>
        </x:is>
      </x:c>
    </x:row>
    <x:row r="13" ht="25.5" customHeight="1">
      <x:c r="A13" t="inlineStr">
        <x:is>
          <x:t xml:space="preserve">UGF-012</x:t>
        </x:is>
      </x:c>
      <x:c r="B13" t="inlineStr">
        <x:is>
          <x:t xml:space="preserve">Reddit</x:t>
        </x:is>
      </x:c>
      <x:c r="C13" t="inlineStr">
        <x:is>
          <x:t xml:space="preserve">Anker</x:t>
        </x:is>
      </x:c>
      <x:c r="D13" t="inlineStr">
        <x:is>
          <x:t xml:space="preserve">Anker Prime Charger 250W</x:t>
        </x:is>
      </x:c>
      <x:c r="E13" t="inlineStr">
        <x:is>
          <x:t xml:space="preserve">用户喜欢屏幕、旋钮和标准电源线，但遇到 Wi-Fi 配置困难，并担心屏幕长期可靠性。</x:t>
        </x:is>
      </x:c>
      <x:c r="F13" t="inlineStr">
        <x:is>
          <x:t xml:space="preserve">mixed</x:t>
        </x:is>
      </x:c>
      <x:c r="G13" t="inlineStr">
        <x:is>
          <x:t xml:space="preserve">shared_home_desktop</x:t>
        </x:is>
      </x:c>
      <x:c r="H13" t="inlineStr">
        <x:is>
          <x:t xml:space="preserve">setup_reliability</x:t>
        </x:is>
      </x:c>
      <x:c r="I13">
        <x:v>3</x:v>
      </x:c>
      <x:c r="J13" t="inlineStr">
        <x:is>
          <x:t xml:space="preserve">智能桌充应提供离线可用核心功能、可靠配网和显示部件健康保障。</x:t>
        </x:is>
      </x:c>
      <x:c r="K13" s="2" t="e">
        <x:f>=HYPERLINK("https://www.reddit.com/r/anker/comments/1rpcw2o/from_anker_prime_charging_station_8in1_240w_to/", "https://www.reddit.com/r/anker/comments/1rpcw2o/from_anker_prime_charging_station_8in1_240w_to/")</x:f>
      </x:c>
      <x:c r="L13" t="inlineStr">
        <x:is>
          <x:t xml:space="preserve">From Anker Prime Charging Station 8-in-1 240W to Anker Prime Charger 250W</x:t>
        </x:is>
      </x:c>
      <x:c r="M13" t="inlineStr">
        <x:is>
          <x:t xml:space="preserve">2026-03-09</x:t>
        </x:is>
      </x:c>
      <x:c r="N13" t="inlineStr">
        <x:is>
          <x:t xml:space="preserve">no</x:t>
        </x:is>
      </x:c>
      <x:c r="O13" t="inlineStr">
        <x:is>
          <x:t xml:space="preserve">medium</x:t>
        </x:is>
      </x:c>
      <x:c r="P13" t="inlineStr">
        <x:is>
          <x:t xml:space="preserve">North America-relevant shared home and desktop charging</x:t>
        </x:is>
      </x:c>
      <x:c r="Q13" t="inlineStr">
        <x:is>
          <x:t xml:space="preserve">Codex</x:t>
        </x:is>
      </x:c>
      <x:c r="R13" t="inlineStr">
        <x:is>
          <x:t xml:space="preserve">2026-07-12</x:t>
        </x:is>
      </x:c>
    </x:row>
  </x:sheetData>
  <x:dataValidations count="4">
    <x:dataValidation type="list" allowBlank="0" sqref="B2:B12">
      <x:formula1>"Reddit,Amazon,Best Buy,YouTube,Brand community"</x:formula1>
    </x:dataValidation>
    <x:dataValidation type="list" allowBlank="0" sqref="F2:F12">
      <x:formula1>"positive,neutral,negative,mixed"</x:formula1>
    </x:dataValidation>
    <x:dataValidation type="list" allowBlank="0" sqref="N2:N12">
      <x:formula1>"no,needs_review"</x:formula1>
    </x:dataValidation>
    <x:dataValidation type="list" allowBlank="0" sqref="O2:O12">
      <x:formula1>"medium,low"</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38" hidden="0" customWidth="1"/>
    <x:col min="7" max="7" width="38" hidden="0" customWidth="1"/>
    <x:col min="8" max="8" width="38" hidden="0" customWidth="1"/>
    <x:col min="9" max="9" width="38" hidden="0" customWidth="1"/>
    <x:col min="10" max="10" width="38" hidden="0" customWidth="1"/>
    <x:col min="11" max="11" width="22" hidden="0" customWidth="1"/>
    <x:col min="12" max="12" width="22" hidden="0" customWidth="1"/>
    <x:col min="13" max="13" width="48" hidden="0" customWidth="1"/>
    <x:col min="14" max="14" width="22" hidden="0" customWidth="1"/>
    <x:col min="15" max="15" width="22" hidden="0" customWidth="1"/>
    <x:col min="16" max="16" width="22" hidden="0" customWidth="1"/>
    <x:col min="17" max="17" width="22" hidden="0" customWidth="1"/>
    <x:col min="18" max="18" width="48" hidden="0" customWidth="1"/>
    <x:col min="19" max="19" width="55" hidden="0" customWidth="1"/>
  </x:cols>
  <x:sheetData>
    <x:row r="1" ht="34" customHeight="1">
      <x:c r="A1" s="10" t="str">
        <x:v>id</x:v>
      </x:c>
      <x:c r="B1" s="10" t="str">
        <x:v>source_accessible</x:v>
      </x:c>
      <x:c r="C1" s="10" t="str">
        <x:v>source_is_user_generated</x:v>
      </x:c>
      <x:c r="D1" s="10" t="str">
        <x:v>product_match</x:v>
      </x:c>
      <x:c r="E1" s="10" t="str">
        <x:v>summary_fidelity</x:v>
      </x:c>
      <x:c r="F1" s="10" t="str">
        <x:v>sentiment_review</x:v>
      </x:c>
      <x:c r="G1" s="10" t="str">
        <x:v>scenario_review</x:v>
      </x:c>
      <x:c r="H1" s="10" t="str">
        <x:v>pain_point_review</x:v>
      </x:c>
      <x:c r="I1" s="10" t="str">
        <x:v>severity_review</x:v>
      </x:c>
      <x:c r="J1" s="10" t="str">
        <x:v>design_signal_review</x:v>
      </x:c>
      <x:c r="K1" s="10" t="str">
        <x:v>duplicate_or_same_thread</x:v>
      </x:c>
      <x:c r="L1" s="10" t="str">
        <x:v>recommended_status</x:v>
      </x:c>
      <x:c r="M1" s="10" t="str">
        <x:v>corrected_summary</x:v>
      </x:c>
      <x:c r="N1" s="10" t="str">
        <x:v>corrected_sentiment</x:v>
      </x:c>
      <x:c r="O1" s="10" t="str">
        <x:v>corrected_scenario</x:v>
      </x:c>
      <x:c r="P1" s="10" t="str">
        <x:v>corrected_pain_point</x:v>
      </x:c>
      <x:c r="Q1" s="10" t="str">
        <x:v>corrected_severity</x:v>
      </x:c>
      <x:c r="R1" s="10" t="str">
        <x:v>corrected_design_signal</x:v>
      </x:c>
      <x:c r="S1" s="10" t="str">
        <x:v>review_reason</x:v>
      </x:c>
    </x:row>
    <x:row r="2" ht="72" customHeight="1">
      <x:c r="A2" s="22" t="str">
        <x:v>UGF-001</x:v>
      </x:c>
      <x:c r="B2" s="22" t="str">
        <x:v>yes</x:v>
      </x:c>
      <x:c r="C2" s="22" t="str">
        <x:v>yes</x:v>
      </x:c>
      <x:c r="D2" s="22" t="str">
        <x:v>yes</x:v>
      </x:c>
      <x:c r="E2" s="22" t="str">
        <x:v>accurate</x:v>
      </x:c>
      <x:c r="F2" s="18" t="str">
        <x:v>需改：原帖先明确表示喜欢产品，核心态度是认可中带困惑，整体应为 mixed。</x:v>
      </x:c>
      <x:c r="G2" s="18" t="str">
        <x:v>通过：同时给 MacBook Pro 与 Pixel 充电。</x:v>
      </x:c>
      <x:c r="H2" s="18" t="str">
        <x:v>通过：多口功率分配和插入顺序不透明。</x:v>
      </x:c>
      <x:c r="I2" s="18" t="str">
        <x:v>需下调至 3：存在操作试错和效率影响，但可通过先插笔记本规避，未造成核心不可用。</x:v>
      </x:c>
      <x:c r="J2" s="18" t="str">
        <x:v>需收敛：证据支持澄清功率优先级与插入顺序，但“必须显示当前分配”是尚未验证的具体实现。</x:v>
      </x:c>
      <x:c r="K2" s="22" t="str">
        <x:v>no</x:v>
      </x:c>
      <x:c r="L2" s="22" t="str">
        <x:v>needs_edit</x:v>
      </x:c>
      <x:c r="M2" s="18" t="str"/>
      <x:c r="N2" s="22" t="str">
        <x:v>mixed</x:v>
      </x:c>
      <x:c r="O2" s="22" t="str"/>
      <x:c r="P2" s="22" t="str"/>
      <x:c r="Q2" s="22" t="n">
        <x:v>3</x:v>
      </x:c>
      <x:c r="R2" s="18" t="str">
        <x:v>应更清晰说明双设备连接时的功率优先级、端口角色及插入顺序对分配结果的影响。</x:v>
      </x:c>
      <x:c r="S2" s="18" t="str">
        <x:v>页面显示用户喜欢该充电器，但不清楚 45W/20W 如何分配；评论解释先接入设备获得更高功率，用户决定先插笔记本。原 sentiment 和 severity 偏重。</x:v>
      </x:c>
    </x:row>
    <x:row r="3" ht="72" customHeight="1">
      <x:c r="A3" s="22" t="str">
        <x:v>UGF-002</x:v>
      </x:c>
      <x:c r="B3" s="22" t="str">
        <x:v>yes</x:v>
      </x:c>
      <x:c r="C3" s="22" t="str">
        <x:v>yes</x:v>
      </x:c>
      <x:c r="D3" s="22" t="str">
        <x:v>no</x:v>
      </x:c>
      <x:c r="E3" s="22" t="str">
        <x:v>partial</x:v>
      </x:c>
      <x:c r="F3" s="18" t="str">
        <x:v>通过：对异常高温、烫手和安全担忧的态度明确为 negative。</x:v>
      </x:c>
      <x:c r="G3" s="18" t="str">
        <x:v>通过：XPS 15 约 80W 持续负载测试。</x:v>
      </x:c>
      <x:c r="H3" s="18" t="str">
        <x:v>通过：高温及触碰安全风险。</x:v>
      </x:c>
      <x:c r="I3" s="18" t="str">
        <x:v>通过：约 100°C 且触碰烫手，符合安全风险级别 5。</x:v>
      </x:c>
      <x:c r="J3" s="18" t="str">
        <x:v>需收敛：证据支持过温警示和保护反馈，但未支持“降额提示”已经发生或一定是最佳方案。</x:v>
      </x:c>
      <x:c r="K3" s="22" t="str">
        <x:v>no</x:v>
      </x:c>
      <x:c r="L3" s="22" t="str">
        <x:v>needs_edit</x:v>
      </x:c>
      <x:c r="M3" s="18" t="str">
        <x:v>用户称 UGREEN Nexode X 100W 在约 80W 持续负载 30 分钟后外壳温度达到约 100°C，触碰时烫手，并询问这种情况是否正常。</x:v>
      </x:c>
      <x:c r="N3" s="22" t="str"/>
      <x:c r="O3" s="22" t="str"/>
      <x:c r="P3" s="22" t="str"/>
      <x:c r="Q3" s="22" t="str"/>
      <x:c r="R3" s="18" t="str">
        <x:v>持续高负载时，应向用户提供明确的过温警示、保护状态和可理解的安全边界。</x:v>
      </x:c>
      <x:c r="S3" s="18" t="str">
        <x:v>来源正文写的是 UGREEN Nexode X 100W，不是表中的 Nexode Pro 100W；页面未表达“是否应该退货”，摘要需删除该内容并修正型号。</x:v>
      </x:c>
    </x:row>
    <x:row r="4" ht="72" customHeight="1">
      <x:c r="A4" s="22" t="str">
        <x:v>UGF-003</x:v>
      </x:c>
      <x:c r="B4" s="22" t="str">
        <x:v>yes</x:v>
      </x:c>
      <x:c r="C4" s="22" t="str">
        <x:v>yes</x:v>
      </x:c>
      <x:c r="D4" s="22" t="str">
        <x:v>yes</x:v>
      </x:c>
      <x:c r="E4" s="22" t="str">
        <x:v>accurate</x:v>
      </x:c>
      <x:c r="F4" s="18" t="str">
        <x:v>通过：用户明确表达失望并描述需要反复插拔。</x:v>
      </x:c>
      <x:c r="G4" s="18" t="str">
        <x:v>通过：MacBook 与 Lightning iPhone/线缆的双设备场景。</x:v>
      </x:c>
      <x:c r="H4" s="18" t="str">
        <x:v>通过：空载 Lightning 线触发多口功率模式和重新协商问题。</x:v>
      </x:c>
      <x:c r="I4" s="18" t="str">
        <x:v>需下调至 4：显著干扰多口充电核心流程，但仍可充电并有插拔规避方式，不宜直接定为 5。</x:v>
      </x:c>
      <x:c r="J4" s="18" t="str">
        <x:v>需收敛：“识别真实负载”可作为待验证方向，不应写成已经确认的产品结论。</x:v>
      </x:c>
      <x:c r="K4" s="22" t="str">
        <x:v>no</x:v>
      </x:c>
      <x:c r="L4" s="22" t="str">
        <x:v>needs_edit</x:v>
      </x:c>
      <x:c r="M4" s="18" t="str"/>
      <x:c r="N4" s="22" t="str"/>
      <x:c r="O4" s="22" t="str"/>
      <x:c r="P4" s="22" t="str"/>
      <x:c r="Q4" s="22" t="n">
        <x:v>4</x:v>
      </x:c>
      <x:c r="R4" s="18" t="str">
        <x:v>应减少空载线缆触发降档或重新协商的操作负担，并清晰说明多口模式切换条件。</x:v>
      </x:c>
      <x:c r="S4" s="18" t="str">
        <x:v>页面支持空载 Lightning 线导致端口 1 降至固定档位、MacBook 仅约 28.3W 且需重新插拔恢复；问题严重但未达到不可用或安全级别。</x:v>
      </x:c>
    </x:row>
    <x:row r="5" ht="72" customHeight="1">
      <x:c r="A5" s="22" t="str">
        <x:v>UGF-004</x:v>
      </x:c>
      <x:c r="B5" s="22" t="str">
        <x:v>yes</x:v>
      </x:c>
      <x:c r="C5" s="22" t="str">
        <x:v>yes</x:v>
      </x:c>
      <x:c r="D5" s="22" t="str">
        <x:v>yes</x:v>
      </x:c>
      <x:c r="E5" s="22" t="str">
        <x:v>partial</x:v>
      </x:c>
      <x:c r="F5" s="18" t="str">
        <x:v>通过：用户对发热后限功率提出负面疑问。</x:v>
      </x:c>
      <x:c r="G5" s="18" t="str">
        <x:v>通过：支持 65W 的设备持续充电场景。</x:v>
      </x:c>
      <x:c r="H5" s="18" t="str">
        <x:v>基本通过：核心是温升触发限功率，thermal_throttling 比 heat 更精确。</x:v>
      </x:c>
      <x:c r="I5" s="18" t="str">
        <x:v>通过：从 65W 限制到约 25W，明显影响核心充电流程，级别 4 合理。</x:v>
      </x:c>
      <x:c r="J5" s="18" t="str">
        <x:v>需改：来源没有表达“小体积与持续输出能力冲突”，也没有提到规格页或峰值/持续功率区分。</x:v>
      </x:c>
      <x:c r="K5" s="22" t="str">
        <x:v>no</x:v>
      </x:c>
      <x:c r="L5" s="22" t="str">
        <x:v>needs_edit</x:v>
      </x:c>
      <x:c r="M5" s="18" t="str">
        <x:v>用户称 UGREEN Nexode X 65W 在给支持 65W 的设备充电时发热，随后输出被限制到约 25W，并询问是否正常。</x:v>
      </x:c>
      <x:c r="N5" s="22" t="str"/>
      <x:c r="O5" s="22" t="str"/>
      <x:c r="P5" s="22" t="str">
        <x:v>thermal_throttling</x:v>
      </x:c>
      <x:c r="Q5" s="22" t="str"/>
      <x:c r="R5" s="18" t="str">
        <x:v>应明确告知用户设备因温度限制输出时的状态及恢复条件。</x:v>
      </x:c>
      <x:c r="S5" s="18" t="str">
        <x:v>来源只陈述发热后限至约 25W；原摘要和 design_signal 加入了页面未表达的体积冲突、规格页和峰值/持续功率判断。</x:v>
      </x:c>
    </x:row>
    <x:row r="6" ht="72" customHeight="1">
      <x:c r="A6" s="22" t="str">
        <x:v>UGF-005</x:v>
      </x:c>
      <x:c r="B6" s="22" t="str">
        <x:v>yes</x:v>
      </x:c>
      <x:c r="C6" s="22" t="str">
        <x:v>yes</x:v>
      </x:c>
      <x:c r="D6" s="22" t="str">
        <x:v>yes</x:v>
      </x:c>
      <x:c r="E6" s="22" t="str">
        <x:v>accurate</x:v>
      </x:c>
      <x:c r="F6" s="18" t="str">
        <x:v>通过：用户对顶级产品输出更低表示困惑和不满。</x:v>
      </x:c>
      <x:c r="G6" s="18" t="str">
        <x:v>通过：桌面充电器连接 MacBook Pro 与 DJI 电池充电器。</x:v>
      </x:c>
      <x:c r="H6" s="18" t="str">
        <x:v>通过：相同设备、相同或多条合规线材下输出一致性较低。</x:v>
      </x:c>
      <x:c r="I6" s="18" t="str">
        <x:v>需下调至 3：MacBook 差约 4W、DJI 差约 7–8W，会影响购买判断和充电效率，但未造成核心不可用。</x:v>
      </x:c>
      <x:c r="J6" s="18" t="str">
        <x:v>通过：解释设备请求、协商和实测输出差异，是由用户困惑直接支持的设计启示。</x:v>
      </x:c>
      <x:c r="K6" s="22" t="str">
        <x:v>no</x:v>
      </x:c>
      <x:c r="L6" s="22" t="str">
        <x:v>needs_edit</x:v>
      </x:c>
      <x:c r="M6" s="18" t="str"/>
      <x:c r="N6" s="22" t="str"/>
      <x:c r="O6" s="22" t="str"/>
      <x:c r="P6" s="22" t="str"/>
      <x:c r="Q6" s="22" t="n">
        <x:v>3</x:v>
      </x:c>
      <x:c r="R6" s="18" t="str"/>
      <x:c r="S6" s="18" t="str">
        <x:v>来源包含同设备同线材对比，Prime 250W 在 MacBook 和 DJI 充电器上输出更低；证据可靠，但 severity 4 偏高。</x:v>
      </x:c>
    </x:row>
    <x:row r="7" ht="72" customHeight="1">
      <x:c r="A7" s="22" t="str">
        <x:v>UGF-006</x:v>
      </x:c>
      <x:c r="B7" s="22" t="str">
        <x:v>yes</x:v>
      </x:c>
      <x:c r="C7" s="22" t="str">
        <x:v>yes</x:v>
      </x:c>
      <x:c r="D7" s="22" t="str">
        <x:v>yes</x:v>
      </x:c>
      <x:c r="E7" s="22" t="str">
        <x:v>partial</x:v>
      </x:c>
      <x:c r="F7" s="18" t="str">
        <x:v>通过：同一评论既认可整体可用，也提出端口布局问题，mixed 合理。</x:v>
      </x:c>
      <x:c r="G7" s="18" t="str">
        <x:v>通过：桌面多设备、USB-C 与 USB-A 混合接线。</x:v>
      </x:c>
      <x:c r="H7" s="18" t="str">
        <x:v>通过：接口间距和侧向出线造成连接与桌面走线问题。</x:v>
      </x:c>
      <x:c r="I7" s="18" t="str">
        <x:v>需下调至 2：用户将侧面 USB-A 明确称为 nitpick/小体积妥协；相邻 USB-C 可能难插属于轻度体验问题。</x:v>
      </x:c>
      <x:c r="J7" s="18" t="str">
        <x:v>通过：验证真实线材尺寸、端口间距和出线方向与证据直接相关。</x:v>
      </x:c>
      <x:c r="K7" s="22" t="str">
        <x:v>no</x:v>
      </x:c>
      <x:c r="L7" s="22" t="str">
        <x:v>needs_edit</x:v>
      </x:c>
      <x:c r="M7" s="18" t="str">
        <x:v>用户认为屏幕清晰度虽不高但可接受，同时反馈 USB-C 端口间距较近，插入一根线后可能影响相邻接口；USB-A 位于侧面会让混合走线显得凌乱。</x:v>
      </x:c>
      <x:c r="N7" s="22" t="str"/>
      <x:c r="O7" s="22" t="str"/>
      <x:c r="P7" s="22" t="str"/>
      <x:c r="Q7" s="22" t="n">
        <x:v>2</x:v>
      </x:c>
      <x:c r="R7" s="18" t="str"/>
      <x:c r="S7" s="18" t="str">
        <x:v>原摘要对屏幕功能的表述比该用户评论更具体；端口问题属轻度布局体验，不应评为影响购买或效率的 3 级。</x:v>
      </x:c>
    </x:row>
    <x:row r="8" ht="72" customHeight="1">
      <x:c r="A8" s="22" t="str">
        <x:v>UGF-007</x:v>
      </x:c>
      <x:c r="B8" s="22" t="str">
        <x:v>yes</x:v>
      </x:c>
      <x:c r="C8" s="22" t="str">
        <x:v>yes</x:v>
      </x:c>
      <x:c r="D8" s="22" t="str">
        <x:v>yes</x:v>
      </x:c>
      <x:c r="E8" s="22" t="str">
        <x:v>partial</x:v>
      </x:c>
      <x:c r="F8" s="18" t="str">
        <x:v>通过：用户购买后无法实现独立双屏扩展，negative 合理。</x:v>
      </x:c>
      <x:c r="G8" s="18" t="str">
        <x:v>通过：Mac 双外接显示器工作站。</x:v>
      </x:c>
      <x:c r="H8" s="18" t="str">
        <x:v>通过：Mac 下只能镜像、不能扩展的显示兼容问题。</x:v>
      </x:c>
      <x:c r="I8" s="18" t="str">
        <x:v>通过：目标双屏扩展流程无法实现，属于严重兼容/核心功能失效，级别 5 可接受。</x:v>
      </x:c>
      <x:c r="J8" s="18" t="str">
        <x:v>通过：在购买和设置阶段按操作系统说明镜像/扩展限制，直接回应用户困惑。</x:v>
      </x:c>
      <x:c r="K8" s="22" t="str">
        <x:v>no</x:v>
      </x:c>
      <x:c r="L8" s="22" t="str">
        <x:v>needs_edit</x:v>
      </x:c>
      <x:c r="M8" s="18" t="str">
        <x:v>用户购买后发现 Mac 连接两个外接显示器时两块屏幕完全同步，无法扩展为独立桌面，并询问解决方案。</x:v>
      </x:c>
      <x:c r="N8" s="22" t="str"/>
      <x:c r="O8" s="22" t="str"/>
      <x:c r="P8" s="22" t="str"/>
      <x:c r="Q8" s="22" t="str"/>
      <x:c r="R8" s="18" t="str"/>
      <x:c r="S8" s="18" t="str">
        <x:v>页面评论支持 Mac 只能镜像、不能扩展，但没有证据表明用户“购买前未充分理解”；该因果判断应删除。原帖正文已被移除，证据来自仍可访问的用户评论。</x:v>
      </x:c>
    </x:row>
    <x:row r="9" ht="72" customHeight="1">
      <x:c r="A9" s="22" t="str">
        <x:v>UGF-008</x:v>
      </x:c>
      <x:c r="B9" s="22" t="str">
        <x:v>yes</x:v>
      </x:c>
      <x:c r="C9" s="22" t="str">
        <x:v>yes</x:v>
      </x:c>
      <x:c r="D9" s="22" t="str">
        <x:v>yes</x:v>
      </x:c>
      <x:c r="E9" s="22" t="str">
        <x:v>accurate</x:v>
      </x:c>
      <x:c r="F9" s="18" t="str">
        <x:v>通过：默认驱动使吞吐量约减半且官方未提示，negative 合理。</x:v>
      </x:c>
      <x:c r="G9" s="18" t="str">
        <x:v>通过：Windows 11 高吞吐量桌面/工作站网络。</x:v>
      </x:c>
      <x:c r="H9" s="18" t="str">
        <x:v>通过：默认网卡驱动与手动驱动安装造成的吞吐量问题。</x:v>
      </x:c>
      <x:c r="I9" s="18" t="str">
        <x:v>通过：2.5GbE 实测约 140 MB/s，安装 Realtek 驱动后约 280 MB/s，明显影响核心高速网络流程，级别 4 合理。</x:v>
      </x:c>
      <x:c r="J9" s="18" t="str">
        <x:v>通过：检测关键驱动版本并提供安装提示，是由该问题直接支持的设计启示。</x:v>
      </x:c>
      <x:c r="K9" s="22" t="str">
        <x:v>no</x:v>
      </x:c>
      <x:c r="L9" s="22" t="str">
        <x:v>approved</x:v>
      </x:c>
      <x:c r="M9" s="18" t="str"/>
      <x:c r="N9" s="22" t="str"/>
      <x:c r="O9" s="22" t="str"/>
      <x:c r="P9" s="22" t="str"/>
      <x:c r="Q9" s="22" t="str"/>
      <x:c r="R9" s="18" t="str"/>
      <x:c r="S9" s="18" t="str">
        <x:v>同一用户给出对照测试、系统与端口信息，并更新说明安装 RTL8156 Realtek 驱动后吞吐量恢复；摘要、严重度和设计启示均与页面一致。</x:v>
      </x:c>
    </x:row>
    <x:row r="10" ht="72" customHeight="1">
      <x:c r="A10" s="22" t="str">
        <x:v>UGF-009</x:v>
      </x:c>
      <x:c r="B10" s="22" t="str">
        <x:v>yes</x:v>
      </x:c>
      <x:c r="C10" s="22" t="str">
        <x:v>yes</x:v>
      </x:c>
      <x:c r="D10" s="22" t="str">
        <x:v>yes</x:v>
      </x:c>
      <x:c r="E10" s="22" t="str">
        <x:v>accurate</x:v>
      </x:c>
      <x:c r="F10" s="18" t="str">
        <x:v>通过：对安装流程、内置电源和线缆整理的评价明确为 positive。</x:v>
      </x:c>
      <x:c r="G10" s="18" t="str">
        <x:v>通过：M3 Air、三显示器和站立桌的 home office。</x:v>
      </x:c>
      <x:c r="H10" s="18" t="str">
        <x:v>通过：外置电源砖与桌下线缆杂乱。</x:v>
      </x:c>
      <x:c r="I10" s="18" t="str">
        <x:v>通过：用户称工作区需要大幅整理且内置电源显著改善线缆管理，级别 3 可接受。</x:v>
      </x:c>
      <x:c r="J10" s="18" t="str">
        <x:v>需改：内置电源价值有直接证据，但“与兼容引导同时保留”并非本条证据得出的结论。</x:v>
      </x:c>
      <x:c r="K10" s="22" t="str">
        <x:v>no</x:v>
      </x:c>
      <x:c r="L10" s="22" t="str">
        <x:v>needs_edit</x:v>
      </x:c>
      <x:c r="M10" s="18" t="str"/>
      <x:c r="N10" s="22" t="str"/>
      <x:c r="O10" s="22" t="str"/>
      <x:c r="P10" s="22" t="str"/>
      <x:c r="Q10" s="22" t="str"/>
      <x:c r="R10" s="18" t="str">
        <x:v>内置电源与单根交流电源线可作为减少桌下电源砖和线缆杂乱的明确价值点。</x:v>
      </x:c>
      <x:c r="S10" s="18" t="str">
        <x:v>摘要忠实；设计启示后半句引入了本条页面未讨论的兼容引导，应删除。公开页面未披露赞助或赠测，但仅凭页面无法进一步验证内容是否完全自然产生。</x:v>
      </x:c>
    </x:row>
    <x:row r="11" ht="72" customHeight="1">
      <x:c r="A11" s="22" t="str">
        <x:v>UGF-010</x:v>
      </x:c>
      <x:c r="B11" s="22" t="str">
        <x:v>yes</x:v>
      </x:c>
      <x:c r="C11" s="22" t="str">
        <x:v>yes</x:v>
      </x:c>
      <x:c r="D11" s="22" t="str">
        <x:v>yes</x:v>
      </x:c>
      <x:c r="E11" s="22" t="str">
        <x:v>accurate</x:v>
      </x:c>
      <x:c r="F11" s="18" t="str">
        <x:v>通过：用户认为设备可能故障并描述提前关机，negative 合理。</x:v>
      </x:c>
      <x:c r="G11" s="18" t="str">
        <x:v>需改：页面只支持手机充电/移动电源使用，没有明确旅行场景。</x:v>
      </x:c>
      <x:c r="H11" s="18" t="str">
        <x:v>通过：电量百分比与实际可用容量/关机点不一致。</x:v>
      </x:c>
      <x:c r="I11" s="18" t="str">
        <x:v>通过：在显示仍有余量时关机并显著低于预期容量，属于核心功能失效，级别 5 合理。</x:v>
      </x:c>
      <x:c r="J11" s="18" t="str">
        <x:v>需改：校准与诊断方向有证据基础，但“异常衰减”并未被页面确认。</x:v>
      </x:c>
      <x:c r="K11" s="22" t="str">
        <x:v>no</x:v>
      </x:c>
      <x:c r="L11" s="22" t="str">
        <x:v>needs_edit</x:v>
      </x:c>
      <x:c r="M11" s="18" t="str"/>
      <x:c r="N11" s="22" t="str"/>
      <x:c r="O11" s="22" t="str">
        <x:v>mobile_device_charging</x:v>
      </x:c>
      <x:c r="P11" s="22" t="str"/>
      <x:c r="Q11" s="22" t="str"/>
      <x:c r="R11" s="18" t="str">
        <x:v>应提升剩余电量显示与可用容量的一致性，并为电量计异常提供校准或诊断入口。</x:v>
      </x:c>
      <x:c r="S11" s="18" t="str">
        <x:v>来源描述给 iPhone 充电时电量从 45% 快速到 0，并会在显示仍有余量时关机；未提旅行，也未证实电芯衰减。</x:v>
      </x:c>
    </x:row>
    <x:row r="12" ht="72" customHeight="1">
      <x:c r="A12" s="22" t="str">
        <x:v>UGF-011</x:v>
      </x:c>
      <x:c r="B12" s="22" t="str">
        <x:v>yes</x:v>
      </x:c>
      <x:c r="C12" s="22" t="str">
        <x:v>yes</x:v>
      </x:c>
      <x:c r="D12" s="22" t="str">
        <x:v>yes</x:v>
      </x:c>
      <x:c r="E12" s="22" t="str">
        <x:v>accurate</x:v>
      </x:c>
      <x:c r="F12" s="18" t="str">
        <x:v>通过：同一用户对显示信息缺失和 DJI 兼容失败均为负面评价。</x:v>
      </x:c>
      <x:c r="G12" s="18" t="str">
        <x:v>需改：页面支持 DJI Air 3 电池充电器使用，但没有证据表明是“creator_travel”。</x:v>
      </x:c>
      <x:c r="H12" s="18" t="str">
        <x:v>需拆分：当前一条记录同时包含显示信息不足和双向供电协商失败，单一 pain_point 无法完整覆盖。</x:v>
      </x:c>
      <x:c r="I12" s="18" t="str">
        <x:v>需拆分解释：对 DJI 双向充电器完全不工作，级别 4 合理；仅缺少电压/电流显示应单独作为较低严重度记录。</x:v>
      </x:c>
      <x:c r="J12" s="18" t="str">
        <x:v>需拆分：双向供电方向提示有证据支持；“专业用户”身份和显示信息需求不应与兼容故障合并成一个结论。</x:v>
      </x:c>
      <x:c r="K12" s="22" t="str">
        <x:v>no</x:v>
      </x:c>
      <x:c r="L12" s="22" t="str">
        <x:v>needs_edit</x:v>
      </x:c>
      <x:c r="M12" s="18" t="str">
        <x:v>同一用户称 Shargeek 170 对多数设备可用，但无法与 DJI Air 3 双向电池充电器完成供电方向协商。</x:v>
      </x:c>
      <x:c r="N12" s="22" t="str"/>
      <x:c r="O12" s="22" t="str">
        <x:v>drone_battery_charging</x:v>
      </x:c>
      <x:c r="P12" s="22" t="str">
        <x:v>bidirectional_power_negotiation</x:v>
      </x:c>
      <x:c r="Q12" s="22" t="n">
        <x:v>4</x:v>
      </x:c>
      <x:c r="R12" s="18" t="str">
        <x:v>应清晰处理并提示双向 USB-C 设备的供电方向协商状态；显示信息缺失应另拆为独立反馈记录。</x:v>
      </x:c>
      <x:c r="S12" s="18" t="str">
        <x:v>页面中同一用户先说仅显示瓦数、缺少电压和电流，后又报告 DJI Air 3 双向充电器无法协商。两者都被支持，但属于两个证据主题，应拆成两条记录。</x:v>
      </x:c>
    </x:row>
    <x:row r="13" ht="72" customHeight="1">
      <x:c r="A13" s="22" t="str">
        <x:v>UGF-012</x:v>
      </x:c>
      <x:c r="B13" s="22" t="str">
        <x:v>yes</x:v>
      </x:c>
      <x:c r="C13" s="22" t="str">
        <x:v>yes</x:v>
      </x:c>
      <x:c r="D13" s="22" t="str">
        <x:v>yes</x:v>
      </x:c>
      <x:c r="E13" s="22" t="str">
        <x:v>accurate</x:v>
      </x:c>
      <x:c r="F13" s="18" t="str">
        <x:v>通过：喜欢当前产品特性，同时遇到 Wi‑Fi 困难并担忧屏幕寿命，mixed 合理。</x:v>
      </x:c>
      <x:c r="G13" s="18" t="str">
        <x:v>通过：客厅共享桌面、多人同时充电。</x:v>
      </x:c>
      <x:c r="H13" s="18" t="str">
        <x:v>通过：配网困难与显示屏长期可靠性担忧。</x:v>
      </x:c>
      <x:c r="I13" s="18" t="str">
        <x:v>通过：Wi‑Fi 配置耗时且前代设备屏幕一年左右失效，会影响购买和使用信心，级别 3 合理。</x:v>
      </x:c>
      <x:c r="J13" s="18" t="str">
        <x:v>需改：页面未说明离线时核心功能不可用；屏幕实际失效发生在前一台 8-in-1 240W，不能写成当前 250W 已发生故障。</x:v>
      </x:c>
      <x:c r="K13" s="22" t="str">
        <x:v>no</x:v>
      </x:c>
      <x:c r="L13" s="22" t="str">
        <x:v>needs_edit</x:v>
      </x:c>
      <x:c r="M13" s="18" t="str"/>
      <x:c r="N13" s="22" t="str"/>
      <x:c r="O13" s="22" t="str"/>
      <x:c r="P13" s="22" t="str"/>
      <x:c r="Q13" s="22" t="str"/>
      <x:c r="R13" s="18" t="str">
        <x:v>应简化 Wi‑Fi 配网，并提高或明确显示屏耐久性及相应保修边界。</x:v>
      </x:c>
      <x:c r="S13" s="18" t="str">
        <x:v>来源明确区分前一台 8-in-1 240W 屏幕失效与新购 250W 的 Wi‑Fi 配置困难和寿命担忧；原 design_signal 的“离线核心功能”没有页面依据。</x:v>
      </x:c>
    </x:row>
  </x:sheetData>
  <x:conditionalFormatting sqref="L2:L13">
    <x:cfRule type="expression" dxfId="0" priority="1">
      <x:formula>L2="approved"</x:formula>
    </x:cfRule>
    <x:cfRule type="expression" dxfId="1" priority="2">
      <x:formula>L2="needs_edit"</x:formula>
    </x:cfRule>
    <x:cfRule type="expression" dxfId="2" priority="3">
      <x:formula>L2="rejected"</x:formula>
    </x:cfRule>
    <x:cfRule type="expression" dxfId="3" priority="4">
      <x:formula>L2="needs_recheck"</x:formula>
    </x:cfRule>
  </x:conditionalFormatting>
  <x:pageMargins left="0.7" right="0.7" top="0.75" bottom="0.75" header="0.3" footer="0.3"/>
  <x:tableParts count="1">
    <x:tablePart xmlns:r="http://schemas.openxmlformats.org/officeDocument/2006/relationships" r:id="R2dc85ab33b5648dd"/>
  </x:tableParts>
</x:worksheet>
</file>

<file path=xl/worksheets/sheet3.xml><?xml version="1.0" encoding="utf-8"?>
<x:worksheet xmlns:x="http://schemas.openxmlformats.org/spreadsheetml/2006/main">
  <x:sheetFormatPr defaultRowHeight="15"/>
  <x:cols>
    <x:col min="1" max="1" width="34" hidden="0" customWidth="1"/>
    <x:col min="2" max="2" width="30" hidden="0" customWidth="1"/>
    <x:col min="3" max="3" width="65" hidden="0" customWidth="1"/>
  </x:cols>
  <x:sheetData>
    <x:row r="1" ht="32" customHeight="1">
      <x:c r="A1" s="27" t="str">
        <x:v>verified_user_feedback 证据质量审核</x:v>
      </x:c>
      <x:c r="B1" s="27"/>
      <x:c r="C1" s="27"/>
      <x:c r="D1" s="27"/>
      <x:c r="E1" s="27"/>
      <x:c r="F1" s="27"/>
      <x:c r="G1" s="27"/>
      <x:c r="H1" s="27"/>
      <x:c r="I1" s="27"/>
      <x:c r="J1" s="27"/>
    </x:row>
    <x:row r="3" ht="28" customHeight="1">
      <x:c r="A3" s="38" t="str">
        <x:v>项目</x:v>
      </x:c>
      <x:c r="B3" s="39" t="str">
        <x:v>Anker Innovation｜智能充电 × 多设备桌面/移动办公 × 北美公开样本</x:v>
      </x:c>
    </x:row>
    <x:row r="4" ht="28" customHeight="1">
      <x:c r="A4" s="38" t="str">
        <x:v>阶段</x:v>
      </x:c>
      <x:c r="B4" s="39" t="str">
        <x:v>Proposal-stage evidence validation</x:v>
      </x:c>
    </x:row>
    <x:row r="5" ht="28" customHeight="1">
      <x:c r="A5" s="38" t="str">
        <x:v>审核范围</x:v>
      </x:c>
      <x:c r="B5" s="39" t="str">
        <x:v>12 条 Reddit 公开样本；公开样本不代表完整市场或全部用户</x:v>
      </x:c>
    </x:row>
    <x:row r="6" ht="28" customHeight="1">
      <x:c r="A6" s="38" t="str">
        <x:v>审核原则</x:v>
      </x:c>
      <x:c r="B6" s="39" t="str">
        <x:v>只以来源页面为准；不根据产品常识补充；无法访问则 needs_recheck</x:v>
      </x:c>
    </x:row>
    <x:row r="8">
      <x:c r="A8" s="45" t="str">
        <x:v>总记录数</x:v>
      </x:c>
      <x:c r="B8" s="45" t="str"/>
      <x:c r="C8" s="45" t="str">
        <x:v>approved</x:v>
      </x:c>
      <x:c r="D8" s="45" t="str"/>
      <x:c r="E8" s="45" t="str">
        <x:v>needs_edit</x:v>
      </x:c>
      <x:c r="F8" s="45" t="str"/>
      <x:c r="G8" s="45" t="str">
        <x:v>rejected</x:v>
      </x:c>
      <x:c r="H8" s="45" t="str"/>
      <x:c r="I8" s="45" t="str">
        <x:v>needs_recheck</x:v>
      </x:c>
      <x:c r="J8" s="45" t="str"/>
    </x:row>
    <x:row r="9" ht="32" customHeight="1">
      <x:c r="A9" s="53" t="n">
        <x:f>COUNTA(audit_table!A2:A13)</x:f>
        <x:v>12</x:v>
      </x:c>
      <x:c r="B9" s="53"/>
      <x:c r="C9" s="53" t="n">
        <x:f>COUNTIF(audit_table!L2:L13,"approved")</x:f>
        <x:v>1</x:v>
      </x:c>
      <x:c r="D9" s="53"/>
      <x:c r="E9" s="53" t="n">
        <x:f>COUNTIF(audit_table!L2:L13,"needs_edit")</x:f>
        <x:v>11</x:v>
      </x:c>
      <x:c r="F9" s="53"/>
      <x:c r="G9" s="53" t="n">
        <x:f>COUNTIF(audit_table!L2:L13,"rejected")</x:f>
        <x:v>0</x:v>
      </x:c>
      <x:c r="H9" s="53"/>
      <x:c r="I9" s="53" t="n">
        <x:f>COUNTIF(audit_table!L2:L13,"needs_recheck")</x:f>
        <x:v>0</x:v>
      </x:c>
      <x:c r="J9" s="53"/>
    </x:row>
    <x:row r="12">
      <x:c r="A12" s="59" t="str">
        <x:v>主要数据质量问题</x:v>
      </x:c>
      <x:c r="B12" s="59" t="str">
        <x:v>涉及记录</x:v>
      </x:c>
      <x:c r="C12" s="59" t="str">
        <x:v>处理建议</x:v>
      </x:c>
    </x:row>
    <x:row r="13" ht="48" customHeight="1">
      <x:c r="A13" s="62" t="str">
        <x:v>型号/产品名错配</x:v>
      </x:c>
      <x:c r="B13" s="62" t="str">
        <x:v>UGF-002</x:v>
      </x:c>
      <x:c r="C13" s="62" t="str">
        <x:v>将 product_name 改为来源正文中的 UGREEN Nexode X 100W。</x:v>
      </x:c>
    </x:row>
    <x:row r="14" ht="48" customHeight="1">
      <x:c r="A14" s="62" t="str">
        <x:v>摘要混入页面未表达的推断</x:v>
      </x:c>
      <x:c r="B14" s="62" t="str">
        <x:v>UGF-002, UGF-004, UGF-007</x:v>
      </x:c>
      <x:c r="C14" s="62" t="str">
        <x:v>删除退货意图、小体积冲突、购买前理解不足等未被页面表达的内容。</x:v>
      </x:c>
    </x:row>
    <x:row r="15" ht="48" customHeight="1">
      <x:c r="A15" s="62" t="str">
        <x:v>severity 偏高</x:v>
      </x:c>
      <x:c r="B15" s="62" t="str">
        <x:v>UGF-001, UGF-003, UGF-005, UGF-006</x:v>
      </x:c>
      <x:c r="C15" s="62" t="str">
        <x:v>严格按可用性、安全性和规避成本区分 2/3/4/5。</x:v>
      </x:c>
    </x:row>
    <x:row r="16" ht="48" customHeight="1">
      <x:c r="A16" s="62" t="str">
        <x:v>design_signal 过度具体或跨记录归因</x:v>
      </x:c>
      <x:c r="B16" s="62" t="str">
        <x:v>UGF-001, UGF-002, UGF-003, UGF-004, UGF-009, UGF-010, UGF-012</x:v>
      </x:c>
      <x:c r="C16" s="62" t="str">
        <x:v>保留证据支持的需求方向，避免直接指定未经验证的实现或引入其他页面结论。</x:v>
      </x:c>
    </x:row>
    <x:row r="17" ht="48" customHeight="1">
      <x:c r="A17" s="62" t="str">
        <x:v>scenario 范围过宽</x:v>
      </x:c>
      <x:c r="B17" s="62" t="str">
        <x:v>UGF-010, UGF-011</x:v>
      </x:c>
      <x:c r="C17" s="62" t="str">
        <x:v>改为页面明确支持的 mobile_device_charging、drone_battery_charging。</x:v>
      </x:c>
    </x:row>
    <x:row r="18" ht="48" customHeight="1">
      <x:c r="A18" s="62" t="str">
        <x:v>一条记录合并两个证据主题</x:v>
      </x:c>
      <x:c r="B18" s="62" t="str">
        <x:v>UGF-011</x:v>
      </x:c>
      <x:c r="C18" s="62" t="str">
        <x:v>拆分“显示信息不足”和“双向供电协商失败”，分别设置 pain_point 与 severity。</x:v>
      </x:c>
    </x:row>
    <x:row r="21">
      <x:c r="A21" s="67" t="str">
        <x:v>建议补采的用户反馈类型</x:v>
      </x:c>
      <x:c r="B21" s="67" t="str">
        <x:v>目的</x:v>
      </x:c>
    </x:row>
    <x:row r="22" ht="42" customHeight="1">
      <x:c r="A22" s="62" t="str">
        <x:v>多设备插拔顺序、睡眠唤醒、端口切换的连续使用记录</x:v>
      </x:c>
      <x:c r="B22" s="62" t="str">
        <x:v>验证功率重分配是否稳定，以及问题是否可重复。</x:v>
      </x:c>
    </x:row>
    <x:row r="23" ht="42" customHeight="1">
      <x:c r="A23" s="62" t="str">
        <x:v>明确设备型号、操作系统、线材和端口拓扑的扩展坞反馈</x:v>
      </x:c>
      <x:c r="B23" s="62" t="str">
        <x:v>把兼容问题从泛化抱怨转化为可复核的配置证据。</x:v>
      </x:c>
    </x:row>
    <x:row r="24" ht="42" customHeight="1">
      <x:c r="A24" s="62" t="str">
        <x:v>3/6/12 个月长期使用与售后处理记录</x:v>
      </x:c>
      <x:c r="B24" s="62" t="str">
        <x:v>补足屏幕、风扇、电池计量和高温问题的长期可靠性证据。</x:v>
      </x:c>
    </x:row>
    <x:row r="25" ht="42" customHeight="1">
      <x:c r="A25" s="62" t="str">
        <x:v>正向与中性反馈，尤其是未遇到问题的同配置对照</x:v>
      </x:c>
      <x:c r="B25" s="62" t="str">
        <x:v>减少只采故障帖造成的负面选择偏差。</x:v>
      </x:c>
    </x:row>
    <x:row r="26" ht="42" customHeight="1">
      <x:c r="A26" s="62" t="str">
        <x:v>Amazon、Best Buy 等已验证购买评论与 Reddit 交叉证据</x:v>
      </x:c>
      <x:c r="B26" s="62" t="str">
        <x:v>提升购买真实性和跨平台可追溯性。</x:v>
      </x:c>
    </x:row>
    <x:row r="27" ht="42" customHeight="1">
      <x:c r="A27" s="62" t="str">
        <x:v>移动办公/旅行中的体积、重量、插座占用、线缆收纳反馈</x:v>
      </x:c>
      <x:c r="B27" s="62" t="str">
        <x:v>补足当前样本中被推断但未被页面明确表达的移动场景。</x:v>
      </x:c>
    </x:row>
    <x:row r="28" ht="42" customHeight="1">
      <x:c r="A28" s="62" t="str">
        <x:v>退款、换新、保修和客服响应的完整用户过程记录</x:v>
      </x:c>
      <x:c r="B28" s="62" t="str">
        <x:v>区分单机故障、可恢复问题与持续性服务风险。</x:v>
      </x:c>
    </x:row>
  </x:sheetData>
  <x:mergeCells>
    <x:mergeCell ref="A1:J1"/>
    <x:mergeCell ref="A8:B8"/>
    <x:mergeCell ref="A9:B9"/>
    <x:mergeCell ref="C8:D8"/>
    <x:mergeCell ref="C9:D9"/>
    <x:mergeCell ref="E8:F8"/>
    <x:mergeCell ref="E9:F9"/>
    <x:mergeCell ref="G8:H8"/>
    <x:mergeCell ref="G9:H9"/>
    <x:mergeCell ref="I8:J8"/>
    <x:mergeCell ref="I9:J9"/>
  </x:mergeCells>
  <x:pageMargins left="0.7" right="0.7" top="0.75" bottom="0.75" header="0.3" footer="0.3"/>
</x:worksheet>
</file>